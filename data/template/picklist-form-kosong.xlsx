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RI IN - FORM KOSO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$-409]dd/mmm/yy;@"/>
  </numFmts>
  <fonts count="7">
    <font>
      <name val="Calibri"/>
      <family val="2"/>
      <color theme="1"/>
      <sz val="11"/>
      <scheme val="minor"/>
    </font>
    <font>
      <name val="Cambria"/>
      <family val="1"/>
      <color theme="1"/>
      <sz val="12"/>
    </font>
    <font>
      <name val="Cambria"/>
      <family val="1"/>
      <b val="1"/>
      <color rgb="FF0000FF"/>
      <sz val="16"/>
    </font>
    <font>
      <name val="Cambria"/>
      <family val="1"/>
      <b val="1"/>
      <color rgb="FF0000FF"/>
      <sz val="12"/>
    </font>
    <font>
      <name val="Cambria"/>
      <family val="1"/>
      <b val="1"/>
      <color theme="1"/>
      <sz val="12"/>
    </font>
    <font>
      <name val="Cambria"/>
      <family val="1"/>
      <b val="1"/>
      <color rgb="FFFF0000"/>
      <sz val="12"/>
    </font>
    <font>
      <name val="Cambria"/>
      <family val="1"/>
      <color rgb="FFFF0000"/>
      <sz val="12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FFCC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164" fontId="2" fillId="0" borderId="3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3" fontId="4" fillId="2" borderId="4" applyAlignment="1" pivotButton="0" quotePrefix="0" xfId="0">
      <alignment horizontal="center" vertical="center"/>
    </xf>
    <xf numFmtId="3" fontId="4" fillId="3" borderId="4" applyAlignment="1" pivotButton="0" quotePrefix="0" xfId="0">
      <alignment horizontal="center" vertical="center"/>
    </xf>
    <xf numFmtId="3" fontId="5" fillId="2" borderId="4" applyAlignment="1" pivotButton="0" quotePrefix="0" xfId="0">
      <alignment horizontal="center" vertical="center"/>
    </xf>
    <xf numFmtId="164" fontId="4" fillId="4" borderId="4" applyAlignment="1" pivotButton="0" quotePrefix="0" xfId="0">
      <alignment horizontal="center" vertical="center"/>
    </xf>
    <xf numFmtId="0" fontId="0" fillId="0" borderId="5" pivotButton="0" quotePrefix="0" xfId="0"/>
    <xf numFmtId="0" fontId="4" fillId="0" borderId="4" applyAlignment="1" pivotButton="0" quotePrefix="0" xfId="0">
      <alignment horizontal="center" vertical="center"/>
    </xf>
    <xf numFmtId="0" fontId="0" fillId="0" borderId="6" pivotButton="0" quotePrefix="0" xfId="0"/>
    <xf numFmtId="0" fontId="5" fillId="0" borderId="4" applyAlignment="1" pivotButton="0" quotePrefix="0" xfId="0">
      <alignment horizontal="center" vertical="center"/>
    </xf>
    <xf numFmtId="164" fontId="4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3" fontId="5" fillId="0" borderId="4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164" fontId="1" fillId="0" borderId="4" applyAlignment="1" pivotButton="0" quotePrefix="0" xfId="0">
      <alignment horizontal="center" vertical="center"/>
    </xf>
    <xf numFmtId="3" fontId="6" fillId="0" borderId="4" applyAlignment="1" pivotButton="0" quotePrefix="0" xfId="0">
      <alignment horizontal="center" vertical="center"/>
    </xf>
    <xf numFmtId="3" fontId="1" fillId="0" borderId="4" applyAlignment="1" pivotButton="0" quotePrefix="0" xfId="0">
      <alignment horizontal="center" vertical="center"/>
    </xf>
    <xf numFmtId="0" fontId="1" fillId="0" borderId="4" applyAlignment="1" pivotButton="0" quotePrefix="0" xfId="0">
      <alignment vertical="center"/>
    </xf>
  </cellXfs>
  <cellStyles count="1">
    <cellStyle name="Normal" xfId="0" builtinId="0" hidden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A6"/>
  <sheetViews>
    <sheetView showGridLines="0" zoomScale="6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hidden="1" width="7.54296875" customWidth="1" min="2" max="2"/>
    <col hidden="1" width="3" customWidth="1" min="3" max="3"/>
    <col width="5.7265625" customWidth="1" min="5" max="5"/>
    <col width="10.7265625" customWidth="1" min="6" max="6"/>
    <col width="13.453125" customWidth="1" min="7" max="7"/>
    <col width="8.54296875" customWidth="1" min="8" max="8"/>
    <col width="8.453125" customWidth="1" min="9" max="9"/>
    <col width="6.453125" customWidth="1" min="10" max="10"/>
    <col width="11.26953125" customWidth="1" min="11" max="11"/>
    <col width="14.54296875" customWidth="1" min="12" max="12"/>
    <col width="9.453125" customWidth="1" min="13" max="13"/>
    <col width="9.26953125" customWidth="1" min="18" max="18"/>
    <col width="9.26953125" customWidth="1" min="19" max="19"/>
    <col width="19.1796875" customWidth="1" min="20" max="20"/>
    <col width="11" customWidth="1" min="21" max="21"/>
    <col width="9.1796875" customWidth="1" min="22" max="22"/>
    <col width="13.453125" customWidth="1" min="23" max="23"/>
    <col width="13.453125" customWidth="1" min="24" max="24"/>
    <col width="10.26953125" customWidth="1" min="25" max="25"/>
    <col width="23.1796875" customWidth="1" min="26" max="26"/>
    <col width="10" customWidth="1" min="27" max="27"/>
    <col width="9.1796875" customWidth="1" min="28" max="28"/>
    <col width="9.1796875" customWidth="1" min="31" max="31"/>
  </cols>
  <sheetData>
    <row r="1" ht="21" customHeight="1">
      <c r="Z1" s="1" t="n"/>
      <c r="AA1" s="1" t="n"/>
    </row>
    <row r="2" ht="21" customHeight="1">
      <c r="B2" s="1" t="n"/>
      <c r="E2" s="2" t="inlineStr">
        <is>
          <t>PICK LIST - HARI INI</t>
        </is>
      </c>
      <c r="F2" s="3" t="n"/>
      <c r="G2" s="4" t="n"/>
      <c r="H2" s="5" t="n"/>
      <c r="J2" s="6" t="n"/>
      <c r="M2" s="7">
        <f>SUBTOTAL(9,M6:M40000)</f>
        <v/>
      </c>
      <c r="N2" s="7">
        <f>SUBTOTAL(9,N6:N40000)</f>
        <v/>
      </c>
      <c r="O2" s="8">
        <f>SUBTOTAL(9,O6:O40000)</f>
        <v/>
      </c>
      <c r="P2" s="7">
        <f>SUBTOTAL(9,P6:P40000)</f>
        <v/>
      </c>
      <c r="Q2" s="8">
        <f>SUBTOTAL(9,Q6:Q40000)</f>
        <v/>
      </c>
      <c r="R2" s="9">
        <f>SUBTOTAL(9,R6:R40000)</f>
        <v/>
      </c>
      <c r="S2" s="7">
        <f>SUBTOTAL(9,S6:S40000)</f>
        <v/>
      </c>
      <c r="Y2" s="7">
        <f>SUBTOTAL(9,Y6:Y40002)</f>
        <v/>
      </c>
      <c r="Z2" s="1" t="n"/>
      <c r="AA2" s="7">
        <f>SUBTOTAL(9,AA6:AA40002)</f>
        <v/>
      </c>
    </row>
    <row r="3" ht="23.15" customHeight="1">
      <c r="B3" s="1" t="n"/>
      <c r="J3" s="10" t="inlineStr">
        <is>
          <t>PROSES DATA</t>
        </is>
      </c>
      <c r="K3" s="11" t="n"/>
      <c r="M3" s="12" t="inlineStr">
        <is>
          <t>JUMLAH RESI</t>
        </is>
      </c>
      <c r="N3" s="13" t="n"/>
      <c r="O3" s="13" t="n"/>
      <c r="P3" s="13" t="n"/>
      <c r="Q3" s="13" t="n"/>
      <c r="R3" s="11" t="n"/>
      <c r="Z3" s="1" t="n"/>
      <c r="AA3" s="1" t="n"/>
    </row>
    <row r="4" ht="24.75" customHeight="1">
      <c r="B4" s="14" t="inlineStr">
        <is>
          <t>CODE</t>
        </is>
      </c>
      <c r="E4" s="12" t="inlineStr">
        <is>
          <t>NO</t>
        </is>
      </c>
      <c r="F4" s="12" t="inlineStr">
        <is>
          <t>OPR</t>
        </is>
      </c>
      <c r="G4" s="15" t="inlineStr">
        <is>
          <t>TGL PROSES</t>
        </is>
      </c>
      <c r="H4" s="12" t="inlineStr">
        <is>
          <t>JAM</t>
        </is>
      </c>
      <c r="I4" s="16" t="inlineStr">
        <is>
          <t>MP</t>
        </is>
      </c>
      <c r="J4" s="10" t="inlineStr">
        <is>
          <t>TGL</t>
        </is>
      </c>
      <c r="K4" s="17" t="inlineStr">
        <is>
          <t>JAM DATA</t>
        </is>
      </c>
      <c r="L4" s="16" t="inlineStr">
        <is>
          <t>NO PICK LIST</t>
        </is>
      </c>
      <c r="M4" s="12" t="inlineStr">
        <is>
          <t>LOLOS</t>
        </is>
      </c>
      <c r="N4" s="12" t="inlineStr">
        <is>
          <t>PRINT</t>
        </is>
      </c>
      <c r="O4" s="18" t="inlineStr">
        <is>
          <t>MINUS</t>
        </is>
      </c>
      <c r="P4" s="12" t="inlineStr">
        <is>
          <t>SCAN</t>
        </is>
      </c>
      <c r="Q4" s="18" t="inlineStr">
        <is>
          <t>CTRL</t>
        </is>
      </c>
      <c r="R4" s="19" t="inlineStr">
        <is>
          <t>SISA</t>
        </is>
      </c>
      <c r="S4" s="12" t="inlineStr">
        <is>
          <t>GRAB</t>
        </is>
      </c>
      <c r="T4" s="12" t="n"/>
      <c r="U4" s="12" t="n"/>
      <c r="W4" s="15" t="inlineStr">
        <is>
          <t>TGL PROSES</t>
        </is>
      </c>
      <c r="X4" s="12" t="inlineStr">
        <is>
          <t>PRE ORDER</t>
        </is>
      </c>
      <c r="Y4" s="12" t="inlineStr">
        <is>
          <t>JUMLAH</t>
        </is>
      </c>
      <c r="Z4" s="12" t="inlineStr">
        <is>
          <t>PENGIRIMAN KILAT</t>
        </is>
      </c>
      <c r="AA4" s="12" t="inlineStr">
        <is>
          <t>JUMLAH</t>
        </is>
      </c>
    </row>
    <row r="5" ht="11.15" customHeight="1">
      <c r="B5" s="14" t="n"/>
      <c r="E5" s="20" t="n"/>
      <c r="F5" s="20" t="n"/>
      <c r="G5" s="21" t="n"/>
      <c r="H5" s="20" t="n"/>
      <c r="I5" s="16" t="n"/>
      <c r="J5" s="21" t="n"/>
      <c r="K5" s="20" t="n"/>
      <c r="L5" s="16" t="n"/>
      <c r="M5" s="20" t="n"/>
      <c r="N5" s="20" t="n"/>
      <c r="O5" s="20" t="n"/>
      <c r="P5" s="20" t="n"/>
      <c r="Q5" s="20" t="n"/>
      <c r="R5" s="22" t="n"/>
      <c r="S5" s="23" t="n"/>
      <c r="T5" s="20" t="n"/>
      <c r="U5" s="20" t="n"/>
      <c r="W5" s="21" t="n"/>
    </row>
    <row r="6" ht="25.5" customHeight="1">
      <c r="B6" s="14">
        <f>IF(L6="","",I6&amp;"-"&amp;J6)</f>
        <v/>
      </c>
      <c r="E6" s="20">
        <f>IF(L6="","",IF(G6=G5,E5+1,1))</f>
        <v/>
      </c>
      <c r="F6" s="20" t="n"/>
      <c r="G6" s="21" t="n"/>
      <c r="H6" s="20" t="n"/>
      <c r="I6" s="16" t="n"/>
      <c r="J6" s="20" t="n"/>
      <c r="K6" s="20" t="n"/>
      <c r="L6" s="16" t="n"/>
      <c r="M6" s="23" t="n"/>
      <c r="N6" s="20" t="n"/>
      <c r="O6" s="20">
        <f>IF(L6="","",IF(N6="","",M6-N6))</f>
        <v/>
      </c>
      <c r="P6" s="20" t="n"/>
      <c r="Q6" s="20">
        <f>IF(P6="","",M6-P6)</f>
        <v/>
      </c>
      <c r="R6" s="22" t="n"/>
      <c r="S6" s="23" t="n"/>
      <c r="T6" s="24" t="n"/>
      <c r="U6" s="24" t="n"/>
      <c r="W6" s="21">
        <f>IF(L6="","",G6)</f>
        <v/>
      </c>
      <c r="X6" s="20" t="n"/>
      <c r="Y6" s="20" t="n"/>
    </row>
  </sheetData>
  <mergeCells count="2">
    <mergeCell ref="J3:K3"/>
    <mergeCell ref="M3:R3"/>
  </mergeCells>
  <conditionalFormatting sqref="L1:L1048576">
    <cfRule type="duplicateValues" priority="1" dxfId="0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2026-10-09T01:08:40Z</dcterms:created>
  <dcterms:modified xsi:type="dcterms:W3CDTF">2026-10-09T01:08:40Z</dcterms:modified>
</cp:coreProperties>
</file>